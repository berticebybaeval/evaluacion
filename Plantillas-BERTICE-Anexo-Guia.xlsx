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GRO\Downloads\"/>
    </mc:Choice>
  </mc:AlternateContent>
  <xr:revisionPtr revIDLastSave="0" documentId="13_ncr:1_{A6F9E71F-7FF1-4BC2-B9EA-A6055B7F07B4}" xr6:coauthVersionLast="47" xr6:coauthVersionMax="47" xr10:uidLastSave="{00000000-0000-0000-0000-000000000000}"/>
  <bookViews>
    <workbookView xWindow="-108" yWindow="-108" windowWidth="23256" windowHeight="12456" tabRatio="886" xr2:uid="{00000000-000D-0000-FFFF-FFFF00000000}"/>
  </bookViews>
  <sheets>
    <sheet name="Inicio" sheetId="1" r:id="rId1"/>
    <sheet name="Flujo de Caja 4 Semanas" sheetId="2" r:id="rId2"/>
    <sheet name="Costos por Obra" sheetId="3" r:id="rId3"/>
    <sheet name="Checklist Inicio de Obra" sheetId="4" r:id="rId4"/>
    <sheet name="Checklist Compras y Recepción" sheetId="5" r:id="rId5"/>
    <sheet name="Checklist Registro de Avance" sheetId="6" r:id="rId6"/>
    <sheet name="Checklist Control de Calidad" sheetId="7" r:id="rId7"/>
    <sheet name="Checklist Cierre y Entrega" sheetId="8" r:id="rId8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3" l="1"/>
  <c r="I30" i="3"/>
  <c r="B34" i="3" s="1"/>
  <c r="B35" i="3" s="1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E18" i="2"/>
  <c r="D18" i="2"/>
  <c r="C18" i="2"/>
  <c r="B18" i="2"/>
  <c r="F18" i="2" s="1"/>
  <c r="F17" i="2"/>
  <c r="F16" i="2"/>
  <c r="F15" i="2"/>
  <c r="F14" i="2"/>
  <c r="F13" i="2"/>
  <c r="F12" i="2"/>
  <c r="F11" i="2"/>
  <c r="E9" i="2"/>
  <c r="E20" i="2" s="1"/>
  <c r="D9" i="2"/>
  <c r="C9" i="2"/>
  <c r="C20" i="2" s="1"/>
  <c r="B9" i="2"/>
  <c r="B20" i="2" s="1"/>
  <c r="F8" i="2"/>
  <c r="F7" i="2"/>
  <c r="F6" i="2"/>
  <c r="D20" i="2" l="1"/>
  <c r="F20" i="2" s="1"/>
  <c r="F9" i="2"/>
  <c r="B21" i="2"/>
  <c r="C21" i="2" s="1"/>
  <c r="D21" i="2" s="1"/>
  <c r="E21" i="2" s="1"/>
  <c r="F21" i="2" s="1"/>
</calcChain>
</file>

<file path=xl/sharedStrings.xml><?xml version="1.0" encoding="utf-8"?>
<sst xmlns="http://schemas.openxmlformats.org/spreadsheetml/2006/main" count="244" uniqueCount="159">
  <si>
    <t>BERTICE</t>
  </si>
  <si>
    <t>CONSULTORÍA Y GESTIÓN</t>
  </si>
  <si>
    <t>Plantillas de gestión para pymes constructoras</t>
  </si>
  <si>
    <t>Anexo de la guía “Los 7 Dolores que Frenan a las Pymes Constructoras en Chile”</t>
  </si>
  <si>
    <t>Hoja</t>
  </si>
  <si>
    <t>Para qué sirve</t>
  </si>
  <si>
    <t>Dolor que resuelve</t>
  </si>
  <si>
    <t>1. Flujo de Caja 4 Semanas</t>
  </si>
  <si>
    <t>Proyectar entradas y salidas de caja semana a semana y anticipar apretones de liquidez.</t>
  </si>
  <si>
    <t>Dolor 3 – Falta de control de costos y caja</t>
  </si>
  <si>
    <t>2. Costos por Obra</t>
  </si>
  <si>
    <t>Registrar compras y gastos por obra y partida, y comparar presupuesto vs. gasto real.</t>
  </si>
  <si>
    <t>3. Checklist Inicio de Obra</t>
  </si>
  <si>
    <t>Verificar que todo lo administrativo, contractual y de seguridad esté listo antes de partir.</t>
  </si>
  <si>
    <t>Dolores 1 y 6 – Documentación y estandarización</t>
  </si>
  <si>
    <t>4. Checklist Compras y Recepción</t>
  </si>
  <si>
    <t>Estandarizar la solicitud, aprobación y recepción de materiales.</t>
  </si>
  <si>
    <t>Dolor 6 – Falta de procesos estándar</t>
  </si>
  <si>
    <t>5. Checklist Registro de Avance</t>
  </si>
  <si>
    <t>Reportar avance semanal de obra de forma consistente entre proyectos.</t>
  </si>
  <si>
    <t>Dolores 2 y 6 – Planificación y estandarización</t>
  </si>
  <si>
    <t>6. Checklist Control de Calidad</t>
  </si>
  <si>
    <t>Dejar evidencia de las inspecciones de calidad antes de continuar con la siguiente partida.</t>
  </si>
  <si>
    <t>7. Checklist Cierre y Entrega</t>
  </si>
  <si>
    <t>Asegurar que la obra se cierre con toda la documentación y respaldo para la entrega final.</t>
  </si>
  <si>
    <t>Dolores 1 y 7 – Documentación y competitividad</t>
  </si>
  <si>
    <t>Cómo usar: haz una copia de este archivo por obra (o duplica las hojas), y actualiza cada plantilla según la frecuencia sugerida en la guía (semanal para caja y avance, por evento para checklists).</t>
  </si>
  <si>
    <t>BERTICE Consultoría y Gestión  ·  berticebybaeval.github.io/evaluacion</t>
  </si>
  <si>
    <t>Flujo de Caja Proyectado – 4 Semanas</t>
  </si>
  <si>
    <t>Obra: ____________________   |   Responsable: ____________________   |   Semana de inicio: __________</t>
  </si>
  <si>
    <t>Concepto</t>
  </si>
  <si>
    <t>Semana 1</t>
  </si>
  <si>
    <t>Semana 2</t>
  </si>
  <si>
    <t>Semana 3</t>
  </si>
  <si>
    <t>Semana 4</t>
  </si>
  <si>
    <t>Total mes</t>
  </si>
  <si>
    <t>Notas</t>
  </si>
  <si>
    <t>INGRESOS</t>
  </si>
  <si>
    <t>Estado de pago cobrado</t>
  </si>
  <si>
    <t>Anticipo / boleta de garantía liberada</t>
  </si>
  <si>
    <t>Otros ingresos</t>
  </si>
  <si>
    <t>Total Ingresos</t>
  </si>
  <si>
    <t>EGRESOS</t>
  </si>
  <si>
    <t>Materiales</t>
  </si>
  <si>
    <t>Mano de obra propia</t>
  </si>
  <si>
    <t>Subcontratos</t>
  </si>
  <si>
    <t>Arriendo de maquinaria/equipos</t>
  </si>
  <si>
    <t>Gastos generales de obra</t>
  </si>
  <si>
    <t>Compras urgentes / imprevistos</t>
  </si>
  <si>
    <t>Otros egresos</t>
  </si>
  <si>
    <t>Total Egresos</t>
  </si>
  <si>
    <t>SALDO</t>
  </si>
  <si>
    <t>Saldo de caja de la semana (Ingresos – Egresos)</t>
  </si>
  <si>
    <t>Saldo acumulado</t>
  </si>
  <si>
    <t>Registro de Costos por Obra</t>
  </si>
  <si>
    <t>Obra: ____________________   |   Presupuesto total: ____________________   |   Mes: __________</t>
  </si>
  <si>
    <t>Fecha</t>
  </si>
  <si>
    <t>Partida</t>
  </si>
  <si>
    <t>Descripción / Proveedor</t>
  </si>
  <si>
    <t>Tipo de gasto</t>
  </si>
  <si>
    <t>N° Doc.</t>
  </si>
  <si>
    <t>Unidad</t>
  </si>
  <si>
    <t>Cant.</t>
  </si>
  <si>
    <t>Precio Unit.</t>
  </si>
  <si>
    <t>Total</t>
  </si>
  <si>
    <t>Observaciones</t>
  </si>
  <si>
    <t>TOTAL GASTADO</t>
  </si>
  <si>
    <t>RESUMEN DE MARGEN</t>
  </si>
  <si>
    <t>Presupuesto / venta de obra</t>
  </si>
  <si>
    <t>Total gastado (referencia hoja)</t>
  </si>
  <si>
    <t>Margen estimado</t>
  </si>
  <si>
    <t>Margen %</t>
  </si>
  <si>
    <t>Checklist de Inicio de Obra</t>
  </si>
  <si>
    <t>Obra: ____________________   |   Fecha de inicio: ____________________   |   Jefe de obra: __________</t>
  </si>
  <si>
    <t>N°</t>
  </si>
  <si>
    <t>Ítem a verificar</t>
  </si>
  <si>
    <t>Estado</t>
  </si>
  <si>
    <t>Responsable</t>
  </si>
  <si>
    <t>Documentación y contratos</t>
  </si>
  <si>
    <t>Contrato firmado y respaldado en carpeta digital</t>
  </si>
  <si>
    <t>Pendiente</t>
  </si>
  <si>
    <t>Permisos municipales / DOM vigentes</t>
  </si>
  <si>
    <t>Anexos laborales del personal completos</t>
  </si>
  <si>
    <t>Planos de proyecto vigentes cargados</t>
  </si>
  <si>
    <t>Presupuesto y programa de obra aprobados</t>
  </si>
  <si>
    <t>Seguridad</t>
  </si>
  <si>
    <t>Reglamento interno de higiene y seguridad entregado</t>
  </si>
  <si>
    <t>EPP disponible para todo el personal</t>
  </si>
  <si>
    <t>Plan de emergencia definido y difundido</t>
  </si>
  <si>
    <t>Botiquín y elementos de primeros auxilios en obra</t>
  </si>
  <si>
    <t>Logística y terreno</t>
  </si>
  <si>
    <t>Cierre perimetral e instalación de faenas lista</t>
  </si>
  <si>
    <t>Bodega y punto de acopio de materiales definidos</t>
  </si>
  <si>
    <t>Suministros básicos (agua, luz, baños) habilitados</t>
  </si>
  <si>
    <t>Señalética de obra instalada</t>
  </si>
  <si>
    <t>Gestión</t>
  </si>
  <si>
    <t>Carpeta digital maestra de la obra creada</t>
  </si>
  <si>
    <t>Responsable documental asignado</t>
  </si>
  <si>
    <t>Cronograma semanal y reunión de coordinación agendada</t>
  </si>
  <si>
    <t>Checklist de Compras y Recepción</t>
  </si>
  <si>
    <t>Obra: ____________________   |   Proveedor: ____________________   |   Fecha: __________</t>
  </si>
  <si>
    <t>Solicitud de compra</t>
  </si>
  <si>
    <t>Solicitud generada con partida asociada</t>
  </si>
  <si>
    <t>Cantidad y especificación técnica verificada</t>
  </si>
  <si>
    <t>Cotización comparada (mínimo 2 proveedores si aplica)</t>
  </si>
  <si>
    <t>Aprobación del responsable de obra registrada</t>
  </si>
  <si>
    <t>Recepción de materiales</t>
  </si>
  <si>
    <t>Guía de despacho / factura recibida y archivada</t>
  </si>
  <si>
    <t>Cantidad recibida coincide con lo solicitado</t>
  </si>
  <si>
    <t>Calidad del material verificada visualmente</t>
  </si>
  <si>
    <t>Material almacenado en bodega o punto de acopio</t>
  </si>
  <si>
    <t>Registro</t>
  </si>
  <si>
    <t>Compra registrada en planilla de costos por obra</t>
  </si>
  <si>
    <t>Documento subido a la carpeta digital de la obra</t>
  </si>
  <si>
    <t>Desviación de precio o cantidad informada (si hubo)</t>
  </si>
  <si>
    <t>Checklist de Registro de Avance Semanal</t>
  </si>
  <si>
    <t>Obra: ____________________   |   Semana N°: ____________________   |   Fecha de corte: __________</t>
  </si>
  <si>
    <t>Avance físico</t>
  </si>
  <si>
    <t>Porcentaje de avance por partida actualizado</t>
  </si>
  <si>
    <t>Fotografías de avance tomadas y con fecha</t>
  </si>
  <si>
    <t>Comparación avance real vs. programado registrada</t>
  </si>
  <si>
    <t>Restricciones y coordinación</t>
  </si>
  <si>
    <t>Lista de restricciones de la semana actualizada</t>
  </si>
  <si>
    <t>Responsable y fecha de resolución asignados</t>
  </si>
  <si>
    <t>Reunión de coordinación semanal realizada</t>
  </si>
  <si>
    <t>Respaldo documental</t>
  </si>
  <si>
    <t>Fotos subidas a carpeta formal (no solo WhatsApp)</t>
  </si>
  <si>
    <t>Reporte semanal de avance enviado al mandante (si aplica)</t>
  </si>
  <si>
    <t>Cierre semanal con % de cumplimiento del plan</t>
  </si>
  <si>
    <t>Checklist de Control de Calidad</t>
  </si>
  <si>
    <t>Obra: ____________________   |   Partida inspeccionada: ____________________   |   Fecha: __________</t>
  </si>
  <si>
    <t>Antes de iniciar la partida</t>
  </si>
  <si>
    <t>Especificación técnica y plano vigente revisados</t>
  </si>
  <si>
    <t>Materiales verificados según especificación</t>
  </si>
  <si>
    <t>Cuadrilla informada de los criterios de aceptación</t>
  </si>
  <si>
    <t>Durante la ejecución</t>
  </si>
  <si>
    <t>Inspección visual de avance conforme a especificación</t>
  </si>
  <si>
    <t>Pruebas o mediciones técnicas realizadas (si aplica)</t>
  </si>
  <si>
    <t>No conformidades registradas con fotografía</t>
  </si>
  <si>
    <t>Cierre de partida</t>
  </si>
  <si>
    <t>Partida aprobada por responsable de calidad</t>
  </si>
  <si>
    <t>Registro fotográfico final archivado</t>
  </si>
  <si>
    <t>Checklist firmado y subido a carpeta de la obra</t>
  </si>
  <si>
    <t>Checklist de Cierre y Entrega de Obra</t>
  </si>
  <si>
    <t>Obra: ____________________   |   Fecha de entrega: ____________________   |   Mandante: __________</t>
  </si>
  <si>
    <t>Documentación de cierre</t>
  </si>
  <si>
    <t>Estados de pago finales conciliados</t>
  </si>
  <si>
    <t>Recepción municipal / certificados obtenidos</t>
  </si>
  <si>
    <t>Planos as-built actualizados</t>
  </si>
  <si>
    <t>Garantías de equipos y materiales archivadas</t>
  </si>
  <si>
    <t>Respaldo de obra</t>
  </si>
  <si>
    <t>Carpeta digital de la obra completa y ordenada</t>
  </si>
  <si>
    <t>Fotografías de cierre por partida archivadas</t>
  </si>
  <si>
    <t>Checklists de calidad de todas las partidas archivados</t>
  </si>
  <si>
    <t>Cierre administrativo</t>
  </si>
  <si>
    <t>Cierre económico final de la obra realizado</t>
  </si>
  <si>
    <t>Margen real vs. presupuestado calculado</t>
  </si>
  <si>
    <t>Personal liquidado o reasignado a nueva obra</t>
  </si>
  <si>
    <t>Carpeta de presentación actualizada con esta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</si>
</sst>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\$#,##0"/>
    <numFmt numFmtId="166" formatCode="0.0%"/>
  </numFmts>
  <fonts count="15" x14ac:knownFonts="1">
    <font>
      <sz val="11"/>
      <color theme="1"/>
      <name val="Calibri"/>
      <family val="2"/>
      <charset val="1"/>
    </font>
    <font>
      <b/>
      <sz val="28"/>
      <color rgb="FF274F73"/>
      <name val="Arial"/>
      <charset val="1"/>
    </font>
    <font>
      <b/>
      <sz val="11"/>
      <color rgb="FFC9752A"/>
      <name val="Arial"/>
      <charset val="1"/>
    </font>
    <font>
      <b/>
      <sz val="16"/>
      <color rgb="FF274F73"/>
      <name val="Arial"/>
      <charset val="1"/>
    </font>
    <font>
      <i/>
      <sz val="11"/>
      <color rgb="FF5A5A5A"/>
      <name val="Arial"/>
      <charset val="1"/>
    </font>
    <font>
      <b/>
      <sz val="10"/>
      <color rgb="FFFFFFFF"/>
      <name val="Arial"/>
      <charset val="1"/>
    </font>
    <font>
      <b/>
      <sz val="10"/>
      <color rgb="FF274F73"/>
      <name val="Arial"/>
      <charset val="1"/>
    </font>
    <font>
      <sz val="10"/>
      <color rgb="FF000000"/>
      <name val="Arial"/>
      <charset val="1"/>
    </font>
    <font>
      <sz val="10"/>
      <color rgb="FFC9752A"/>
      <name val="Arial"/>
      <charset val="1"/>
    </font>
    <font>
      <i/>
      <sz val="10"/>
      <color rgb="FF5A5A5A"/>
      <name val="Arial"/>
      <charset val="1"/>
    </font>
    <font>
      <i/>
      <sz val="8"/>
      <color rgb="FF999999"/>
      <name val="Arial"/>
      <charset val="1"/>
    </font>
    <font>
      <b/>
      <sz val="16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274F7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74F73"/>
        <bgColor rgb="FF5A5A5A"/>
      </patternFill>
    </fill>
    <fill>
      <patternFill patternType="solid">
        <fgColor rgb="FFC9752A"/>
        <bgColor rgb="FFFF8080"/>
      </patternFill>
    </fill>
    <fill>
      <patternFill patternType="solid">
        <fgColor rgb="FFEFF3F6"/>
        <bgColor rgb="FFFFFFFF"/>
      </patternFill>
    </fill>
    <fill>
      <patternFill patternType="solid">
        <fgColor rgb="FFFDEBD0"/>
        <bgColor rgb="FFEFF3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4" fillId="0" borderId="0" xfId="0" applyFont="1"/>
    <xf numFmtId="0" fontId="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164" fontId="13" fillId="4" borderId="1" xfId="0" applyNumberFormat="1" applyFont="1" applyFill="1" applyBorder="1" applyAlignment="1">
      <alignment horizontal="left" vertical="center" wrapText="1"/>
    </xf>
    <xf numFmtId="164" fontId="13" fillId="5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left" vertical="center" wrapText="1"/>
    </xf>
    <xf numFmtId="0" fontId="0" fillId="2" borderId="0" xfId="0" applyFill="1"/>
    <xf numFmtId="0" fontId="5" fillId="2" borderId="1" xfId="0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166" fontId="13" fillId="4" borderId="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EFF3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752A"/>
      <rgbColor rgb="FF5A5A5A"/>
      <rgbColor rgb="FF999999"/>
      <rgbColor rgb="FF003366"/>
      <rgbColor rgb="FF339966"/>
      <rgbColor rgb="FF003300"/>
      <rgbColor rgb="FF333300"/>
      <rgbColor rgb="FF993300"/>
      <rgbColor rgb="FF993366"/>
      <rgbColor rgb="FF274F7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1851660</xdr:colOff>
      <xdr:row>0</xdr:row>
      <xdr:rowOff>167640</xdr:rowOff>
    </xdr:from>
    <xdr:to>
      <xdr:col>1</xdr:col>
      <xdr:colOff>2510460</xdr:colOff>
      <xdr:row>2</xdr:row>
      <xdr:rowOff>175560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25980" y="167640"/>
          <a:ext cx="658800" cy="6403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1"/>
  <sheetViews>
    <sheetView showGridLines="0" tabSelected="1" zoomScaleNormal="100" workbookViewId="0">
      <selection activeCell="K4" sqref="K4"/>
    </sheetView>
  </sheetViews>
  <sheetFormatPr baseColWidth="10" defaultColWidth="8.6640625" defaultRowHeight="14.4" x14ac:dyDescent="0.3"/>
  <cols>
    <col min="1" max="1" width="4" customWidth="1"/>
    <col min="2" max="2" width="40" customWidth="1"/>
    <col min="3" max="5" width="30" customWidth="1"/>
    <col min="6" max="6" width="4" customWidth="1"/>
  </cols>
  <sheetData>
    <row r="2" spans="2:5" ht="35.4" x14ac:dyDescent="0.6">
      <c r="B2" s="10" t="s">
        <v>0</v>
      </c>
      <c r="C2" s="10"/>
      <c r="D2" s="10"/>
      <c r="E2" s="10"/>
    </row>
    <row r="3" spans="2:5" x14ac:dyDescent="0.3">
      <c r="B3" s="9" t="s">
        <v>1</v>
      </c>
      <c r="C3" s="9"/>
      <c r="D3" s="9"/>
      <c r="E3" s="9"/>
    </row>
    <row r="5" spans="2:5" ht="21" x14ac:dyDescent="0.4">
      <c r="B5" s="8" t="s">
        <v>2</v>
      </c>
      <c r="C5" s="8"/>
      <c r="D5" s="8"/>
      <c r="E5" s="8"/>
    </row>
    <row r="6" spans="2:5" x14ac:dyDescent="0.3">
      <c r="B6" s="7" t="s">
        <v>3</v>
      </c>
      <c r="C6" s="7"/>
      <c r="D6" s="7"/>
      <c r="E6" s="7"/>
    </row>
    <row r="8" spans="2:5" ht="33.75" customHeight="1" x14ac:dyDescent="0.3">
      <c r="B8" s="11" t="s">
        <v>4</v>
      </c>
      <c r="C8" s="11" t="s">
        <v>5</v>
      </c>
      <c r="D8" s="11" t="s">
        <v>6</v>
      </c>
    </row>
    <row r="9" spans="2:5" ht="51" customHeight="1" x14ac:dyDescent="0.3">
      <c r="B9" s="12" t="s">
        <v>7</v>
      </c>
      <c r="C9" s="13" t="s">
        <v>8</v>
      </c>
      <c r="D9" s="14" t="s">
        <v>9</v>
      </c>
    </row>
    <row r="10" spans="2:5" ht="51" customHeight="1" x14ac:dyDescent="0.3">
      <c r="B10" s="12" t="s">
        <v>10</v>
      </c>
      <c r="C10" s="13" t="s">
        <v>11</v>
      </c>
      <c r="D10" s="14" t="s">
        <v>9</v>
      </c>
    </row>
    <row r="11" spans="2:5" ht="51" customHeight="1" x14ac:dyDescent="0.3">
      <c r="B11" s="12" t="s">
        <v>12</v>
      </c>
      <c r="C11" s="13" t="s">
        <v>13</v>
      </c>
      <c r="D11" s="14" t="s">
        <v>14</v>
      </c>
    </row>
    <row r="12" spans="2:5" ht="51" customHeight="1" x14ac:dyDescent="0.3">
      <c r="B12" s="12" t="s">
        <v>15</v>
      </c>
      <c r="C12" s="13" t="s">
        <v>16</v>
      </c>
      <c r="D12" s="14" t="s">
        <v>17</v>
      </c>
    </row>
    <row r="13" spans="2:5" ht="51" customHeight="1" x14ac:dyDescent="0.3">
      <c r="B13" s="12" t="s">
        <v>18</v>
      </c>
      <c r="C13" s="13" t="s">
        <v>19</v>
      </c>
      <c r="D13" s="14" t="s">
        <v>20</v>
      </c>
    </row>
    <row r="14" spans="2:5" ht="51" customHeight="1" x14ac:dyDescent="0.3">
      <c r="B14" s="12" t="s">
        <v>21</v>
      </c>
      <c r="C14" s="13" t="s">
        <v>22</v>
      </c>
      <c r="D14" s="14" t="s">
        <v>17</v>
      </c>
    </row>
    <row r="15" spans="2:5" ht="51" customHeight="1" x14ac:dyDescent="0.3">
      <c r="B15" s="12" t="s">
        <v>23</v>
      </c>
      <c r="C15" s="13" t="s">
        <v>24</v>
      </c>
      <c r="D15" s="14" t="s">
        <v>25</v>
      </c>
    </row>
    <row r="18" spans="1:5" ht="39.75" customHeight="1" x14ac:dyDescent="0.3">
      <c r="B18" s="6" t="s">
        <v>26</v>
      </c>
      <c r="C18" s="6"/>
      <c r="D18" s="6"/>
      <c r="E18" s="6"/>
    </row>
    <row r="21" spans="1:5" x14ac:dyDescent="0.3">
      <c r="A21" s="5" t="s">
        <v>27</v>
      </c>
      <c r="B21" s="5"/>
      <c r="C21" s="5"/>
      <c r="D21" s="5"/>
      <c r="E21" s="5"/>
    </row>
  </sheetData>
  <sheetProtection algorithmName="SHA-512" hashValue="kF9SEU3Mi4Oft88dVZhc50imakmwWNiPag1f4NRvHX+GSxpIbGGlpHG1fEW27RIzB/AdaXScIHe3Bp18QdE6EQ==" saltValue="DWP7uNgYcFf2WJhNOCMTsA==" spinCount="100000" sheet="1" formatCells="0" formatColumns="0" formatRows="0" insertColumns="0" insertRows="0" insertHyperlinks="0" deleteColumns="0" deleteRows="0" sort="0" autoFilter="0" pivotTables="0"/>
  <mergeCells count="6">
    <mergeCell ref="A21:E21"/>
    <mergeCell ref="B2:E2"/>
    <mergeCell ref="B3:E3"/>
    <mergeCell ref="B5:E5"/>
    <mergeCell ref="B6:E6"/>
    <mergeCell ref="B18:E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G1"/>
    </sheetView>
  </sheetViews>
  <sheetFormatPr baseColWidth="10" defaultColWidth="8.6640625" defaultRowHeight="14.4" x14ac:dyDescent="0.3"/>
  <cols>
    <col min="1" max="1" width="30" customWidth="1"/>
    <col min="2" max="6" width="16" customWidth="1"/>
    <col min="7" max="7" width="18" customWidth="1"/>
  </cols>
  <sheetData>
    <row r="1" spans="1:7" ht="30" customHeight="1" x14ac:dyDescent="0.3">
      <c r="A1" s="4" t="s">
        <v>28</v>
      </c>
      <c r="B1" s="4"/>
      <c r="C1" s="4"/>
      <c r="D1" s="4"/>
      <c r="E1" s="4"/>
      <c r="F1" s="4"/>
      <c r="G1" s="4"/>
    </row>
    <row r="2" spans="1:7" ht="18" customHeight="1" x14ac:dyDescent="0.3">
      <c r="A2" s="3" t="s">
        <v>29</v>
      </c>
      <c r="B2" s="3"/>
      <c r="C2" s="3"/>
      <c r="D2" s="3"/>
      <c r="E2" s="3"/>
      <c r="F2" s="3"/>
      <c r="G2" s="3"/>
    </row>
    <row r="4" spans="1:7" ht="27.75" customHeight="1" x14ac:dyDescent="0.3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36</v>
      </c>
    </row>
    <row r="5" spans="1:7" ht="19.5" customHeight="1" x14ac:dyDescent="0.3">
      <c r="A5" s="2" t="s">
        <v>37</v>
      </c>
      <c r="B5" s="2"/>
      <c r="C5" s="2"/>
      <c r="D5" s="2"/>
      <c r="E5" s="2"/>
      <c r="F5" s="2"/>
      <c r="G5" s="2"/>
    </row>
    <row r="6" spans="1:7" x14ac:dyDescent="0.3">
      <c r="A6" s="13" t="s">
        <v>38</v>
      </c>
      <c r="B6" s="15">
        <v>0</v>
      </c>
      <c r="C6" s="15">
        <v>0</v>
      </c>
      <c r="D6" s="15">
        <v>0</v>
      </c>
      <c r="E6" s="15">
        <v>0</v>
      </c>
      <c r="F6" s="16">
        <f>SUM(B6:E6)</f>
        <v>0</v>
      </c>
      <c r="G6" s="13"/>
    </row>
    <row r="7" spans="1:7" ht="26.4" x14ac:dyDescent="0.3">
      <c r="A7" s="13" t="s">
        <v>39</v>
      </c>
      <c r="B7" s="15">
        <v>0</v>
      </c>
      <c r="C7" s="15">
        <v>0</v>
      </c>
      <c r="D7" s="15">
        <v>0</v>
      </c>
      <c r="E7" s="15">
        <v>0</v>
      </c>
      <c r="F7" s="16">
        <f>SUM(B7:E7)</f>
        <v>0</v>
      </c>
      <c r="G7" s="13"/>
    </row>
    <row r="8" spans="1:7" x14ac:dyDescent="0.3">
      <c r="A8" s="13" t="s">
        <v>40</v>
      </c>
      <c r="B8" s="15">
        <v>0</v>
      </c>
      <c r="C8" s="15">
        <v>0</v>
      </c>
      <c r="D8" s="15">
        <v>0</v>
      </c>
      <c r="E8" s="15">
        <v>0</v>
      </c>
      <c r="F8" s="16">
        <f>SUM(B8:E8)</f>
        <v>0</v>
      </c>
      <c r="G8" s="13"/>
    </row>
    <row r="9" spans="1:7" x14ac:dyDescent="0.3">
      <c r="A9" s="17" t="s">
        <v>41</v>
      </c>
      <c r="B9" s="18">
        <f>SUM(B6:B8)</f>
        <v>0</v>
      </c>
      <c r="C9" s="18">
        <f>SUM(C6:C8)</f>
        <v>0</v>
      </c>
      <c r="D9" s="18">
        <f>SUM(D6:D8)</f>
        <v>0</v>
      </c>
      <c r="E9" s="18">
        <f>SUM(E6:E8)</f>
        <v>0</v>
      </c>
      <c r="F9" s="18">
        <f>SUM(B9:E9)</f>
        <v>0</v>
      </c>
      <c r="G9" s="13"/>
    </row>
    <row r="10" spans="1:7" ht="19.5" customHeight="1" x14ac:dyDescent="0.3">
      <c r="A10" s="2" t="s">
        <v>42</v>
      </c>
      <c r="B10" s="2"/>
      <c r="C10" s="2"/>
      <c r="D10" s="2"/>
      <c r="E10" s="2"/>
      <c r="F10" s="2"/>
      <c r="G10" s="2"/>
    </row>
    <row r="11" spans="1:7" x14ac:dyDescent="0.3">
      <c r="A11" s="13" t="s">
        <v>43</v>
      </c>
      <c r="B11" s="15">
        <v>0</v>
      </c>
      <c r="C11" s="15">
        <v>0</v>
      </c>
      <c r="D11" s="15">
        <v>0</v>
      </c>
      <c r="E11" s="15">
        <v>0</v>
      </c>
      <c r="F11" s="16">
        <f t="shared" ref="F11:F18" si="0">SUM(B11:E11)</f>
        <v>0</v>
      </c>
      <c r="G11" s="13"/>
    </row>
    <row r="12" spans="1:7" x14ac:dyDescent="0.3">
      <c r="A12" s="13" t="s">
        <v>44</v>
      </c>
      <c r="B12" s="15">
        <v>0</v>
      </c>
      <c r="C12" s="15">
        <v>0</v>
      </c>
      <c r="D12" s="15">
        <v>0</v>
      </c>
      <c r="E12" s="15">
        <v>0</v>
      </c>
      <c r="F12" s="16">
        <f t="shared" si="0"/>
        <v>0</v>
      </c>
      <c r="G12" s="13"/>
    </row>
    <row r="13" spans="1:7" x14ac:dyDescent="0.3">
      <c r="A13" s="13" t="s">
        <v>45</v>
      </c>
      <c r="B13" s="15">
        <v>0</v>
      </c>
      <c r="C13" s="15">
        <v>0</v>
      </c>
      <c r="D13" s="15">
        <v>0</v>
      </c>
      <c r="E13" s="15">
        <v>0</v>
      </c>
      <c r="F13" s="16">
        <f t="shared" si="0"/>
        <v>0</v>
      </c>
      <c r="G13" s="13"/>
    </row>
    <row r="14" spans="1:7" x14ac:dyDescent="0.3">
      <c r="A14" s="13" t="s">
        <v>46</v>
      </c>
      <c r="B14" s="15">
        <v>0</v>
      </c>
      <c r="C14" s="15">
        <v>0</v>
      </c>
      <c r="D14" s="15">
        <v>0</v>
      </c>
      <c r="E14" s="15">
        <v>0</v>
      </c>
      <c r="F14" s="16">
        <f t="shared" si="0"/>
        <v>0</v>
      </c>
      <c r="G14" s="13"/>
    </row>
    <row r="15" spans="1:7" x14ac:dyDescent="0.3">
      <c r="A15" s="13" t="s">
        <v>47</v>
      </c>
      <c r="B15" s="15">
        <v>0</v>
      </c>
      <c r="C15" s="15">
        <v>0</v>
      </c>
      <c r="D15" s="15">
        <v>0</v>
      </c>
      <c r="E15" s="15">
        <v>0</v>
      </c>
      <c r="F15" s="16">
        <f t="shared" si="0"/>
        <v>0</v>
      </c>
      <c r="G15" s="13"/>
    </row>
    <row r="16" spans="1:7" x14ac:dyDescent="0.3">
      <c r="A16" s="13" t="s">
        <v>48</v>
      </c>
      <c r="B16" s="15">
        <v>0</v>
      </c>
      <c r="C16" s="15">
        <v>0</v>
      </c>
      <c r="D16" s="15">
        <v>0</v>
      </c>
      <c r="E16" s="15">
        <v>0</v>
      </c>
      <c r="F16" s="16">
        <f t="shared" si="0"/>
        <v>0</v>
      </c>
      <c r="G16" s="13"/>
    </row>
    <row r="17" spans="1:7" x14ac:dyDescent="0.3">
      <c r="A17" s="13" t="s">
        <v>49</v>
      </c>
      <c r="B17" s="15">
        <v>0</v>
      </c>
      <c r="C17" s="15">
        <v>0</v>
      </c>
      <c r="D17" s="15">
        <v>0</v>
      </c>
      <c r="E17" s="15">
        <v>0</v>
      </c>
      <c r="F17" s="16">
        <f t="shared" si="0"/>
        <v>0</v>
      </c>
      <c r="G17" s="13"/>
    </row>
    <row r="18" spans="1:7" x14ac:dyDescent="0.3">
      <c r="A18" s="17" t="s">
        <v>50</v>
      </c>
      <c r="B18" s="18">
        <f>SUM(B11:B17)</f>
        <v>0</v>
      </c>
      <c r="C18" s="18">
        <f>SUM(C11:C17)</f>
        <v>0</v>
      </c>
      <c r="D18" s="18">
        <f>SUM(D11:D17)</f>
        <v>0</v>
      </c>
      <c r="E18" s="18">
        <f>SUM(E11:E17)</f>
        <v>0</v>
      </c>
      <c r="F18" s="18">
        <f t="shared" si="0"/>
        <v>0</v>
      </c>
      <c r="G18" s="13"/>
    </row>
    <row r="19" spans="1:7" ht="19.5" customHeight="1" x14ac:dyDescent="0.3">
      <c r="A19" s="2" t="s">
        <v>51</v>
      </c>
      <c r="B19" s="2"/>
      <c r="C19" s="2"/>
      <c r="D19" s="2"/>
      <c r="E19" s="2"/>
      <c r="F19" s="2"/>
      <c r="G19" s="2"/>
    </row>
    <row r="20" spans="1:7" ht="26.4" x14ac:dyDescent="0.3">
      <c r="A20" s="17" t="s">
        <v>52</v>
      </c>
      <c r="B20" s="18">
        <f>B9-B18</f>
        <v>0</v>
      </c>
      <c r="C20" s="18">
        <f>C9-C18</f>
        <v>0</v>
      </c>
      <c r="D20" s="18">
        <f>D9-D18</f>
        <v>0</v>
      </c>
      <c r="E20" s="18">
        <f>E9-E18</f>
        <v>0</v>
      </c>
      <c r="F20" s="18">
        <f>SUM(B20:E20)</f>
        <v>0</v>
      </c>
      <c r="G20" s="13"/>
    </row>
    <row r="21" spans="1:7" x14ac:dyDescent="0.3">
      <c r="A21" s="17" t="s">
        <v>53</v>
      </c>
      <c r="B21" s="19">
        <f>B20</f>
        <v>0</v>
      </c>
      <c r="C21" s="19">
        <f>B21+C20</f>
        <v>0</v>
      </c>
      <c r="D21" s="19">
        <f>C21+D20</f>
        <v>0</v>
      </c>
      <c r="E21" s="19">
        <f>D21+E20</f>
        <v>0</v>
      </c>
      <c r="F21" s="19">
        <f>E21</f>
        <v>0</v>
      </c>
      <c r="G21" s="13"/>
    </row>
    <row r="24" spans="1:7" x14ac:dyDescent="0.3">
      <c r="A24" s="5" t="s">
        <v>27</v>
      </c>
      <c r="B24" s="5"/>
      <c r="C24" s="5"/>
      <c r="D24" s="5"/>
      <c r="E24" s="5"/>
      <c r="F24" s="5"/>
      <c r="G24" s="5"/>
    </row>
  </sheetData>
  <mergeCells count="6">
    <mergeCell ref="A24:G24"/>
    <mergeCell ref="A1:G1"/>
    <mergeCell ref="A2:G2"/>
    <mergeCell ref="A5:G5"/>
    <mergeCell ref="A10:G10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showGridLines="0" zoomScaleNormal="100" workbookViewId="0">
      <pane ySplit="4" topLeftCell="A5" activePane="bottomLeft" state="frozen"/>
      <selection pane="bottomLeft" activeCell="D12" sqref="D12"/>
    </sheetView>
  </sheetViews>
  <sheetFormatPr baseColWidth="10" defaultColWidth="8.6640625" defaultRowHeight="14.4" x14ac:dyDescent="0.3"/>
  <cols>
    <col min="1" max="2" width="14" customWidth="1"/>
    <col min="3" max="3" width="30" customWidth="1"/>
    <col min="4" max="4" width="16" customWidth="1"/>
    <col min="5" max="5" width="12" customWidth="1"/>
    <col min="6" max="6" width="10" customWidth="1"/>
    <col min="7" max="9" width="14" customWidth="1"/>
    <col min="10" max="10" width="20" customWidth="1"/>
  </cols>
  <sheetData>
    <row r="1" spans="1:10" ht="30" customHeight="1" x14ac:dyDescent="0.3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">
      <c r="A2" s="3" t="s">
        <v>55</v>
      </c>
      <c r="B2" s="3"/>
      <c r="C2" s="3"/>
      <c r="D2" s="3"/>
      <c r="E2" s="3"/>
      <c r="F2" s="3"/>
      <c r="G2" s="3"/>
      <c r="H2" s="3"/>
      <c r="I2" s="3"/>
      <c r="J2" s="3"/>
    </row>
    <row r="4" spans="1:10" ht="27.75" customHeight="1" x14ac:dyDescent="0.3">
      <c r="A4" s="11" t="s">
        <v>56</v>
      </c>
      <c r="B4" s="11" t="s">
        <v>57</v>
      </c>
      <c r="C4" s="11" t="s">
        <v>58</v>
      </c>
      <c r="D4" s="11" t="s">
        <v>59</v>
      </c>
      <c r="E4" s="11" t="s">
        <v>60</v>
      </c>
      <c r="F4" s="11" t="s">
        <v>61</v>
      </c>
      <c r="G4" s="11" t="s">
        <v>62</v>
      </c>
      <c r="H4" s="11" t="s">
        <v>63</v>
      </c>
      <c r="I4" s="11" t="s">
        <v>64</v>
      </c>
      <c r="J4" s="11" t="s">
        <v>65</v>
      </c>
    </row>
    <row r="5" spans="1:10" ht="19.5" customHeight="1" x14ac:dyDescent="0.3">
      <c r="A5" s="20"/>
      <c r="B5" s="13"/>
      <c r="C5" s="13"/>
      <c r="D5" s="13"/>
      <c r="E5" s="20"/>
      <c r="F5" s="20"/>
      <c r="G5" s="21">
        <v>0</v>
      </c>
      <c r="H5" s="22">
        <v>0</v>
      </c>
      <c r="I5" s="16">
        <f t="shared" ref="I5:I29" si="0">G5*H5</f>
        <v>0</v>
      </c>
      <c r="J5" s="13"/>
    </row>
    <row r="6" spans="1:10" ht="19.5" customHeight="1" x14ac:dyDescent="0.3">
      <c r="A6" s="20"/>
      <c r="B6" s="13"/>
      <c r="C6" s="13"/>
      <c r="D6" s="13"/>
      <c r="E6" s="20"/>
      <c r="F6" s="20"/>
      <c r="G6" s="21">
        <v>0</v>
      </c>
      <c r="H6" s="22">
        <v>0</v>
      </c>
      <c r="I6" s="16">
        <f t="shared" si="0"/>
        <v>0</v>
      </c>
      <c r="J6" s="13"/>
    </row>
    <row r="7" spans="1:10" ht="19.5" customHeight="1" x14ac:dyDescent="0.3">
      <c r="A7" s="20"/>
      <c r="B7" s="13"/>
      <c r="C7" s="13"/>
      <c r="D7" s="13"/>
      <c r="E7" s="20"/>
      <c r="F7" s="20"/>
      <c r="G7" s="21">
        <v>0</v>
      </c>
      <c r="H7" s="22">
        <v>0</v>
      </c>
      <c r="I7" s="16">
        <f t="shared" si="0"/>
        <v>0</v>
      </c>
      <c r="J7" s="13"/>
    </row>
    <row r="8" spans="1:10" ht="19.5" customHeight="1" x14ac:dyDescent="0.3">
      <c r="A8" s="20"/>
      <c r="B8" s="13"/>
      <c r="C8" s="13"/>
      <c r="D8" s="13"/>
      <c r="E8" s="20"/>
      <c r="F8" s="20"/>
      <c r="G8" s="21">
        <v>0</v>
      </c>
      <c r="H8" s="22">
        <v>0</v>
      </c>
      <c r="I8" s="16">
        <f t="shared" si="0"/>
        <v>0</v>
      </c>
      <c r="J8" s="13"/>
    </row>
    <row r="9" spans="1:10" ht="19.5" customHeight="1" x14ac:dyDescent="0.3">
      <c r="A9" s="20"/>
      <c r="B9" s="13"/>
      <c r="C9" s="13"/>
      <c r="D9" s="13"/>
      <c r="E9" s="20"/>
      <c r="F9" s="20"/>
      <c r="G9" s="21">
        <v>0</v>
      </c>
      <c r="H9" s="22">
        <v>0</v>
      </c>
      <c r="I9" s="16">
        <f t="shared" si="0"/>
        <v>0</v>
      </c>
      <c r="J9" s="13"/>
    </row>
    <row r="10" spans="1:10" ht="19.5" customHeight="1" x14ac:dyDescent="0.3">
      <c r="A10" s="20"/>
      <c r="B10" s="13"/>
      <c r="C10" s="13"/>
      <c r="D10" s="13"/>
      <c r="E10" s="20"/>
      <c r="F10" s="20"/>
      <c r="G10" s="21">
        <v>0</v>
      </c>
      <c r="H10" s="22">
        <v>0</v>
      </c>
      <c r="I10" s="16">
        <f t="shared" si="0"/>
        <v>0</v>
      </c>
      <c r="J10" s="13"/>
    </row>
    <row r="11" spans="1:10" ht="19.5" customHeight="1" x14ac:dyDescent="0.3">
      <c r="A11" s="20"/>
      <c r="B11" s="13"/>
      <c r="C11" s="13"/>
      <c r="D11" s="13"/>
      <c r="E11" s="20"/>
      <c r="F11" s="20"/>
      <c r="G11" s="21">
        <v>0</v>
      </c>
      <c r="H11" s="22">
        <v>0</v>
      </c>
      <c r="I11" s="16">
        <f t="shared" si="0"/>
        <v>0</v>
      </c>
      <c r="J11" s="13"/>
    </row>
    <row r="12" spans="1:10" ht="19.5" customHeight="1" x14ac:dyDescent="0.3">
      <c r="A12" s="20"/>
      <c r="B12" s="13"/>
      <c r="C12" s="13"/>
      <c r="D12" s="13"/>
      <c r="E12" s="20"/>
      <c r="F12" s="20"/>
      <c r="G12" s="21">
        <v>0</v>
      </c>
      <c r="H12" s="22">
        <v>0</v>
      </c>
      <c r="I12" s="16">
        <f t="shared" si="0"/>
        <v>0</v>
      </c>
      <c r="J12" s="13"/>
    </row>
    <row r="13" spans="1:10" ht="19.5" customHeight="1" x14ac:dyDescent="0.3">
      <c r="A13" s="20"/>
      <c r="B13" s="13"/>
      <c r="C13" s="13"/>
      <c r="D13" s="13"/>
      <c r="E13" s="20"/>
      <c r="F13" s="20"/>
      <c r="G13" s="21">
        <v>0</v>
      </c>
      <c r="H13" s="22">
        <v>0</v>
      </c>
      <c r="I13" s="16">
        <f t="shared" si="0"/>
        <v>0</v>
      </c>
      <c r="J13" s="13"/>
    </row>
    <row r="14" spans="1:10" ht="19.5" customHeight="1" x14ac:dyDescent="0.3">
      <c r="A14" s="20"/>
      <c r="B14" s="13"/>
      <c r="C14" s="13"/>
      <c r="D14" s="13"/>
      <c r="E14" s="20"/>
      <c r="F14" s="20"/>
      <c r="G14" s="21">
        <v>0</v>
      </c>
      <c r="H14" s="22">
        <v>0</v>
      </c>
      <c r="I14" s="16">
        <f t="shared" si="0"/>
        <v>0</v>
      </c>
      <c r="J14" s="13"/>
    </row>
    <row r="15" spans="1:10" ht="19.5" customHeight="1" x14ac:dyDescent="0.3">
      <c r="A15" s="20"/>
      <c r="B15" s="13"/>
      <c r="C15" s="13"/>
      <c r="D15" s="13"/>
      <c r="E15" s="20"/>
      <c r="F15" s="20"/>
      <c r="G15" s="21">
        <v>0</v>
      </c>
      <c r="H15" s="22">
        <v>0</v>
      </c>
      <c r="I15" s="16">
        <f t="shared" si="0"/>
        <v>0</v>
      </c>
      <c r="J15" s="13"/>
    </row>
    <row r="16" spans="1:10" ht="19.5" customHeight="1" x14ac:dyDescent="0.3">
      <c r="A16" s="20"/>
      <c r="B16" s="13"/>
      <c r="C16" s="13"/>
      <c r="D16" s="13"/>
      <c r="E16" s="20"/>
      <c r="F16" s="20"/>
      <c r="G16" s="21">
        <v>0</v>
      </c>
      <c r="H16" s="22">
        <v>0</v>
      </c>
      <c r="I16" s="16">
        <f t="shared" si="0"/>
        <v>0</v>
      </c>
      <c r="J16" s="13"/>
    </row>
    <row r="17" spans="1:10" ht="19.5" customHeight="1" x14ac:dyDescent="0.3">
      <c r="A17" s="20"/>
      <c r="B17" s="13"/>
      <c r="C17" s="13"/>
      <c r="D17" s="13"/>
      <c r="E17" s="20"/>
      <c r="F17" s="20"/>
      <c r="G17" s="21">
        <v>0</v>
      </c>
      <c r="H17" s="22">
        <v>0</v>
      </c>
      <c r="I17" s="16">
        <f t="shared" si="0"/>
        <v>0</v>
      </c>
      <c r="J17" s="13"/>
    </row>
    <row r="18" spans="1:10" ht="19.5" customHeight="1" x14ac:dyDescent="0.3">
      <c r="A18" s="20"/>
      <c r="B18" s="13"/>
      <c r="C18" s="13"/>
      <c r="D18" s="13"/>
      <c r="E18" s="20"/>
      <c r="F18" s="20"/>
      <c r="G18" s="21">
        <v>0</v>
      </c>
      <c r="H18" s="22">
        <v>0</v>
      </c>
      <c r="I18" s="16">
        <f t="shared" si="0"/>
        <v>0</v>
      </c>
      <c r="J18" s="13"/>
    </row>
    <row r="19" spans="1:10" ht="19.5" customHeight="1" x14ac:dyDescent="0.3">
      <c r="A19" s="20"/>
      <c r="B19" s="13"/>
      <c r="C19" s="13"/>
      <c r="D19" s="13"/>
      <c r="E19" s="20"/>
      <c r="F19" s="20"/>
      <c r="G19" s="21">
        <v>0</v>
      </c>
      <c r="H19" s="22">
        <v>0</v>
      </c>
      <c r="I19" s="16">
        <f t="shared" si="0"/>
        <v>0</v>
      </c>
      <c r="J19" s="13"/>
    </row>
    <row r="20" spans="1:10" ht="19.5" customHeight="1" x14ac:dyDescent="0.3">
      <c r="A20" s="20"/>
      <c r="B20" s="13"/>
      <c r="C20" s="13"/>
      <c r="D20" s="13"/>
      <c r="E20" s="20"/>
      <c r="F20" s="20"/>
      <c r="G20" s="21">
        <v>0</v>
      </c>
      <c r="H20" s="22">
        <v>0</v>
      </c>
      <c r="I20" s="16">
        <f t="shared" si="0"/>
        <v>0</v>
      </c>
      <c r="J20" s="13"/>
    </row>
    <row r="21" spans="1:10" ht="19.5" customHeight="1" x14ac:dyDescent="0.3">
      <c r="A21" s="20"/>
      <c r="B21" s="13"/>
      <c r="C21" s="13"/>
      <c r="D21" s="13"/>
      <c r="E21" s="20"/>
      <c r="F21" s="20"/>
      <c r="G21" s="21">
        <v>0</v>
      </c>
      <c r="H21" s="22">
        <v>0</v>
      </c>
      <c r="I21" s="16">
        <f t="shared" si="0"/>
        <v>0</v>
      </c>
      <c r="J21" s="13"/>
    </row>
    <row r="22" spans="1:10" ht="19.5" customHeight="1" x14ac:dyDescent="0.3">
      <c r="A22" s="20"/>
      <c r="B22" s="13"/>
      <c r="C22" s="13"/>
      <c r="D22" s="13"/>
      <c r="E22" s="20"/>
      <c r="F22" s="20"/>
      <c r="G22" s="21">
        <v>0</v>
      </c>
      <c r="H22" s="22">
        <v>0</v>
      </c>
      <c r="I22" s="16">
        <f t="shared" si="0"/>
        <v>0</v>
      </c>
      <c r="J22" s="13"/>
    </row>
    <row r="23" spans="1:10" ht="19.5" customHeight="1" x14ac:dyDescent="0.3">
      <c r="A23" s="20"/>
      <c r="B23" s="13"/>
      <c r="C23" s="13"/>
      <c r="D23" s="13"/>
      <c r="E23" s="20"/>
      <c r="F23" s="20"/>
      <c r="G23" s="21">
        <v>0</v>
      </c>
      <c r="H23" s="22">
        <v>0</v>
      </c>
      <c r="I23" s="16">
        <f t="shared" si="0"/>
        <v>0</v>
      </c>
      <c r="J23" s="13"/>
    </row>
    <row r="24" spans="1:10" ht="19.5" customHeight="1" x14ac:dyDescent="0.3">
      <c r="A24" s="20"/>
      <c r="B24" s="13"/>
      <c r="C24" s="13"/>
      <c r="D24" s="13"/>
      <c r="E24" s="20"/>
      <c r="F24" s="20"/>
      <c r="G24" s="21">
        <v>0</v>
      </c>
      <c r="H24" s="22">
        <v>0</v>
      </c>
      <c r="I24" s="16">
        <f t="shared" si="0"/>
        <v>0</v>
      </c>
      <c r="J24" s="13"/>
    </row>
    <row r="25" spans="1:10" ht="19.5" customHeight="1" x14ac:dyDescent="0.3">
      <c r="A25" s="20"/>
      <c r="B25" s="13"/>
      <c r="C25" s="13"/>
      <c r="D25" s="13"/>
      <c r="E25" s="20"/>
      <c r="F25" s="20"/>
      <c r="G25" s="21">
        <v>0</v>
      </c>
      <c r="H25" s="22">
        <v>0</v>
      </c>
      <c r="I25" s="16">
        <f t="shared" si="0"/>
        <v>0</v>
      </c>
      <c r="J25" s="13"/>
    </row>
    <row r="26" spans="1:10" ht="19.5" customHeight="1" x14ac:dyDescent="0.3">
      <c r="A26" s="20"/>
      <c r="B26" s="13"/>
      <c r="C26" s="13"/>
      <c r="D26" s="13"/>
      <c r="E26" s="20"/>
      <c r="F26" s="20"/>
      <c r="G26" s="21">
        <v>0</v>
      </c>
      <c r="H26" s="22">
        <v>0</v>
      </c>
      <c r="I26" s="16">
        <f t="shared" si="0"/>
        <v>0</v>
      </c>
      <c r="J26" s="13"/>
    </row>
    <row r="27" spans="1:10" ht="19.5" customHeight="1" x14ac:dyDescent="0.3">
      <c r="A27" s="20"/>
      <c r="B27" s="13"/>
      <c r="C27" s="13"/>
      <c r="D27" s="13"/>
      <c r="E27" s="20"/>
      <c r="F27" s="20"/>
      <c r="G27" s="21">
        <v>0</v>
      </c>
      <c r="H27" s="22">
        <v>0</v>
      </c>
      <c r="I27" s="16">
        <f t="shared" si="0"/>
        <v>0</v>
      </c>
      <c r="J27" s="13"/>
    </row>
    <row r="28" spans="1:10" ht="19.5" customHeight="1" x14ac:dyDescent="0.3">
      <c r="A28" s="20"/>
      <c r="B28" s="13"/>
      <c r="C28" s="13"/>
      <c r="D28" s="13"/>
      <c r="E28" s="20"/>
      <c r="F28" s="20"/>
      <c r="G28" s="21">
        <v>0</v>
      </c>
      <c r="H28" s="22">
        <v>0</v>
      </c>
      <c r="I28" s="16">
        <f t="shared" si="0"/>
        <v>0</v>
      </c>
      <c r="J28" s="13"/>
    </row>
    <row r="29" spans="1:10" ht="19.5" customHeight="1" x14ac:dyDescent="0.3">
      <c r="A29" s="20"/>
      <c r="B29" s="13"/>
      <c r="C29" s="13"/>
      <c r="D29" s="13"/>
      <c r="E29" s="20"/>
      <c r="F29" s="20"/>
      <c r="G29" s="21">
        <v>0</v>
      </c>
      <c r="H29" s="22">
        <v>0</v>
      </c>
      <c r="I29" s="16">
        <f t="shared" si="0"/>
        <v>0</v>
      </c>
      <c r="J29" s="13"/>
    </row>
    <row r="30" spans="1:10" ht="26.4" x14ac:dyDescent="0.3">
      <c r="A30" s="23"/>
      <c r="B30" s="23"/>
      <c r="C30" s="23"/>
      <c r="D30" s="23"/>
      <c r="E30" s="23"/>
      <c r="F30" s="23"/>
      <c r="G30" s="23"/>
      <c r="H30" s="24" t="s">
        <v>66</v>
      </c>
      <c r="I30" s="25">
        <f>SUM(I5:I29)</f>
        <v>0</v>
      </c>
      <c r="J30" s="23"/>
    </row>
    <row r="32" spans="1:10" x14ac:dyDescent="0.3">
      <c r="A32" s="1" t="s">
        <v>67</v>
      </c>
      <c r="B32" s="1"/>
      <c r="C32" s="1"/>
    </row>
    <row r="33" spans="1:10" ht="26.4" x14ac:dyDescent="0.3">
      <c r="A33" s="17" t="s">
        <v>68</v>
      </c>
      <c r="B33" s="15">
        <v>0</v>
      </c>
    </row>
    <row r="34" spans="1:10" ht="39.6" x14ac:dyDescent="0.3">
      <c r="A34" s="17" t="s">
        <v>69</v>
      </c>
      <c r="B34" s="16">
        <f>I30</f>
        <v>0</v>
      </c>
    </row>
    <row r="35" spans="1:10" ht="26.4" x14ac:dyDescent="0.3">
      <c r="A35" s="26" t="s">
        <v>70</v>
      </c>
      <c r="B35" s="18">
        <f>B33-B34</f>
        <v>0</v>
      </c>
    </row>
    <row r="36" spans="1:10" x14ac:dyDescent="0.3">
      <c r="A36" s="26" t="s">
        <v>71</v>
      </c>
      <c r="B36" s="27">
        <f>IF(B33=0,0,B35/B33)</f>
        <v>0</v>
      </c>
    </row>
    <row r="38" spans="1:10" x14ac:dyDescent="0.3">
      <c r="A38" s="5" t="s">
        <v>27</v>
      </c>
      <c r="B38" s="5"/>
      <c r="C38" s="5"/>
      <c r="D38" s="5"/>
      <c r="E38" s="5"/>
      <c r="F38" s="5"/>
      <c r="G38" s="5"/>
      <c r="H38" s="5"/>
      <c r="I38" s="5"/>
      <c r="J38" s="5"/>
    </row>
  </sheetData>
  <mergeCells count="4">
    <mergeCell ref="A1:J1"/>
    <mergeCell ref="A2:J2"/>
    <mergeCell ref="A32:C32"/>
    <mergeCell ref="A38:J38"/>
  </mergeCells>
  <dataValidations count="1">
    <dataValidation type="list" allowBlank="1" sqref="D5:D29" xr:uid="{00000000-0002-0000-0200-000000000000}">
      <formula1>"Materiales,Mano de obra,Subcontrato,Maquinaria/Equipo,Gastos generales,Imprevisto,Otro"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showGridLines="0" zoomScaleNormal="100" workbookViewId="0">
      <pane ySplit="4" topLeftCell="A14" activePane="bottomLeft" state="frozen"/>
      <selection pane="bottomLeft" sqref="A1:XFD1048576"/>
    </sheetView>
  </sheetViews>
  <sheetFormatPr baseColWidth="10" defaultColWidth="8.6640625" defaultRowHeight="14.4" x14ac:dyDescent="0.3"/>
  <cols>
    <col min="1" max="1" width="6" customWidth="1"/>
    <col min="2" max="2" width="46" customWidth="1"/>
    <col min="3" max="3" width="14" customWidth="1"/>
    <col min="4" max="4" width="20" customWidth="1"/>
    <col min="5" max="5" width="30" customWidth="1"/>
  </cols>
  <sheetData>
    <row r="1" spans="1:5" ht="30" customHeight="1" x14ac:dyDescent="0.3">
      <c r="A1" s="4" t="s">
        <v>72</v>
      </c>
      <c r="B1" s="4"/>
      <c r="C1" s="4"/>
      <c r="D1" s="4"/>
      <c r="E1" s="4"/>
    </row>
    <row r="2" spans="1:5" ht="18" customHeight="1" x14ac:dyDescent="0.3">
      <c r="A2" s="3" t="s">
        <v>73</v>
      </c>
      <c r="B2" s="3"/>
      <c r="C2" s="3"/>
      <c r="D2" s="3"/>
      <c r="E2" s="3"/>
    </row>
    <row r="4" spans="1:5" ht="27.75" customHeight="1" x14ac:dyDescent="0.3">
      <c r="A4" s="11" t="s">
        <v>74</v>
      </c>
      <c r="B4" s="11" t="s">
        <v>75</v>
      </c>
      <c r="C4" s="11" t="s">
        <v>76</v>
      </c>
      <c r="D4" s="11" t="s">
        <v>77</v>
      </c>
      <c r="E4" s="11" t="s">
        <v>65</v>
      </c>
    </row>
    <row r="5" spans="1:5" ht="19.5" customHeight="1" x14ac:dyDescent="0.3">
      <c r="A5" s="2" t="s">
        <v>78</v>
      </c>
      <c r="B5" s="2"/>
      <c r="C5" s="2"/>
      <c r="D5" s="2"/>
      <c r="E5" s="2"/>
    </row>
    <row r="6" spans="1:5" ht="21.75" customHeight="1" x14ac:dyDescent="0.3">
      <c r="A6" s="20">
        <v>1</v>
      </c>
      <c r="B6" s="13" t="s">
        <v>79</v>
      </c>
      <c r="C6" s="28" t="s">
        <v>80</v>
      </c>
      <c r="D6" s="13"/>
      <c r="E6" s="13"/>
    </row>
    <row r="7" spans="1:5" ht="21.75" customHeight="1" x14ac:dyDescent="0.3">
      <c r="A7" s="20">
        <v>2</v>
      </c>
      <c r="B7" s="13" t="s">
        <v>81</v>
      </c>
      <c r="C7" s="28" t="s">
        <v>80</v>
      </c>
      <c r="D7" s="13"/>
      <c r="E7" s="13"/>
    </row>
    <row r="8" spans="1:5" ht="21.75" customHeight="1" x14ac:dyDescent="0.3">
      <c r="A8" s="20">
        <v>3</v>
      </c>
      <c r="B8" s="13" t="s">
        <v>82</v>
      </c>
      <c r="C8" s="28" t="s">
        <v>80</v>
      </c>
      <c r="D8" s="13"/>
      <c r="E8" s="13"/>
    </row>
    <row r="9" spans="1:5" ht="21.75" customHeight="1" x14ac:dyDescent="0.3">
      <c r="A9" s="20">
        <v>4</v>
      </c>
      <c r="B9" s="13" t="s">
        <v>83</v>
      </c>
      <c r="C9" s="28" t="s">
        <v>80</v>
      </c>
      <c r="D9" s="13"/>
      <c r="E9" s="13"/>
    </row>
    <row r="10" spans="1:5" ht="21.75" customHeight="1" x14ac:dyDescent="0.3">
      <c r="A10" s="20">
        <v>5</v>
      </c>
      <c r="B10" s="13" t="s">
        <v>84</v>
      </c>
      <c r="C10" s="28" t="s">
        <v>80</v>
      </c>
      <c r="D10" s="13"/>
      <c r="E10" s="13"/>
    </row>
    <row r="11" spans="1:5" ht="19.5" customHeight="1" x14ac:dyDescent="0.3">
      <c r="A11" s="2" t="s">
        <v>85</v>
      </c>
      <c r="B11" s="2"/>
      <c r="C11" s="2"/>
      <c r="D11" s="2"/>
      <c r="E11" s="2"/>
    </row>
    <row r="12" spans="1:5" ht="21.75" customHeight="1" x14ac:dyDescent="0.3">
      <c r="A12" s="20">
        <v>6</v>
      </c>
      <c r="B12" s="13" t="s">
        <v>86</v>
      </c>
      <c r="C12" s="28" t="s">
        <v>80</v>
      </c>
      <c r="D12" s="13"/>
      <c r="E12" s="13"/>
    </row>
    <row r="13" spans="1:5" ht="21.75" customHeight="1" x14ac:dyDescent="0.3">
      <c r="A13" s="20">
        <v>7</v>
      </c>
      <c r="B13" s="13" t="s">
        <v>87</v>
      </c>
      <c r="C13" s="28" t="s">
        <v>80</v>
      </c>
      <c r="D13" s="13"/>
      <c r="E13" s="13"/>
    </row>
    <row r="14" spans="1:5" ht="21.75" customHeight="1" x14ac:dyDescent="0.3">
      <c r="A14" s="20">
        <v>8</v>
      </c>
      <c r="B14" s="13" t="s">
        <v>88</v>
      </c>
      <c r="C14" s="28" t="s">
        <v>80</v>
      </c>
      <c r="D14" s="13"/>
      <c r="E14" s="13"/>
    </row>
    <row r="15" spans="1:5" ht="21.75" customHeight="1" x14ac:dyDescent="0.3">
      <c r="A15" s="20">
        <v>9</v>
      </c>
      <c r="B15" s="13" t="s">
        <v>89</v>
      </c>
      <c r="C15" s="28" t="s">
        <v>80</v>
      </c>
      <c r="D15" s="13"/>
      <c r="E15" s="13"/>
    </row>
    <row r="16" spans="1:5" ht="19.5" customHeight="1" x14ac:dyDescent="0.3">
      <c r="A16" s="2" t="s">
        <v>90</v>
      </c>
      <c r="B16" s="2"/>
      <c r="C16" s="2"/>
      <c r="D16" s="2"/>
      <c r="E16" s="2"/>
    </row>
    <row r="17" spans="1:5" ht="21.75" customHeight="1" x14ac:dyDescent="0.3">
      <c r="A17" s="20">
        <v>10</v>
      </c>
      <c r="B17" s="13" t="s">
        <v>91</v>
      </c>
      <c r="C17" s="28" t="s">
        <v>80</v>
      </c>
      <c r="D17" s="13"/>
      <c r="E17" s="13"/>
    </row>
    <row r="18" spans="1:5" ht="21.75" customHeight="1" x14ac:dyDescent="0.3">
      <c r="A18" s="20">
        <v>11</v>
      </c>
      <c r="B18" s="13" t="s">
        <v>92</v>
      </c>
      <c r="C18" s="28" t="s">
        <v>80</v>
      </c>
      <c r="D18" s="13"/>
      <c r="E18" s="13"/>
    </row>
    <row r="19" spans="1:5" ht="21.75" customHeight="1" x14ac:dyDescent="0.3">
      <c r="A19" s="20">
        <v>12</v>
      </c>
      <c r="B19" s="13" t="s">
        <v>93</v>
      </c>
      <c r="C19" s="28" t="s">
        <v>80</v>
      </c>
      <c r="D19" s="13"/>
      <c r="E19" s="13"/>
    </row>
    <row r="20" spans="1:5" ht="21.75" customHeight="1" x14ac:dyDescent="0.3">
      <c r="A20" s="20">
        <v>13</v>
      </c>
      <c r="B20" s="13" t="s">
        <v>94</v>
      </c>
      <c r="C20" s="28" t="s">
        <v>80</v>
      </c>
      <c r="D20" s="13"/>
      <c r="E20" s="13"/>
    </row>
    <row r="21" spans="1:5" ht="19.5" customHeight="1" x14ac:dyDescent="0.3">
      <c r="A21" s="2" t="s">
        <v>95</v>
      </c>
      <c r="B21" s="2"/>
      <c r="C21" s="2"/>
      <c r="D21" s="2"/>
      <c r="E21" s="2"/>
    </row>
    <row r="22" spans="1:5" ht="21.75" customHeight="1" x14ac:dyDescent="0.3">
      <c r="A22" s="20">
        <v>14</v>
      </c>
      <c r="B22" s="13" t="s">
        <v>96</v>
      </c>
      <c r="C22" s="28" t="s">
        <v>80</v>
      </c>
      <c r="D22" s="13"/>
      <c r="E22" s="13"/>
    </row>
    <row r="23" spans="1:5" ht="21.75" customHeight="1" x14ac:dyDescent="0.3">
      <c r="A23" s="20">
        <v>15</v>
      </c>
      <c r="B23" s="13" t="s">
        <v>97</v>
      </c>
      <c r="C23" s="28" t="s">
        <v>80</v>
      </c>
      <c r="D23" s="13"/>
      <c r="E23" s="13"/>
    </row>
    <row r="24" spans="1:5" ht="21.75" customHeight="1" x14ac:dyDescent="0.3">
      <c r="A24" s="20">
        <v>16</v>
      </c>
      <c r="B24" s="13" t="s">
        <v>98</v>
      </c>
      <c r="C24" s="28" t="s">
        <v>80</v>
      </c>
      <c r="D24" s="13"/>
      <c r="E24" s="13"/>
    </row>
    <row r="27" spans="1:5" x14ac:dyDescent="0.3">
      <c r="A27" s="5" t="s">
        <v>27</v>
      </c>
      <c r="B27" s="5"/>
      <c r="C27" s="5"/>
      <c r="D27" s="5"/>
      <c r="E27" s="5"/>
    </row>
  </sheetData>
  <mergeCells count="7">
    <mergeCell ref="A21:E21"/>
    <mergeCell ref="A27:E27"/>
    <mergeCell ref="A1:E1"/>
    <mergeCell ref="A2:E2"/>
    <mergeCell ref="A5:E5"/>
    <mergeCell ref="A11:E11"/>
    <mergeCell ref="A16:E16"/>
  </mergeCells>
  <dataValidations count="1">
    <dataValidation type="list" allowBlank="1" sqref="C6:C10 C12:C15 C17:C20 C22:C24" xr:uid="{00000000-0002-0000-0300-000000000000}">
      <formula1>"Pendiente,OK,No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showGridLines="0" zoomScaleNormal="100" workbookViewId="0">
      <pane ySplit="4" topLeftCell="A5" activePane="bottomLeft" state="frozen"/>
      <selection pane="bottomLeft" sqref="A1:XFD1048576"/>
    </sheetView>
  </sheetViews>
  <sheetFormatPr baseColWidth="10" defaultColWidth="8.6640625" defaultRowHeight="14.4" x14ac:dyDescent="0.3"/>
  <cols>
    <col min="1" max="1" width="6" customWidth="1"/>
    <col min="2" max="2" width="46" customWidth="1"/>
    <col min="3" max="3" width="14" customWidth="1"/>
    <col min="4" max="4" width="20" customWidth="1"/>
    <col min="5" max="5" width="30" customWidth="1"/>
  </cols>
  <sheetData>
    <row r="1" spans="1:5" ht="30" customHeight="1" x14ac:dyDescent="0.3">
      <c r="A1" s="4" t="s">
        <v>99</v>
      </c>
      <c r="B1" s="4"/>
      <c r="C1" s="4"/>
      <c r="D1" s="4"/>
      <c r="E1" s="4"/>
    </row>
    <row r="2" spans="1:5" ht="18" customHeight="1" x14ac:dyDescent="0.3">
      <c r="A2" s="3" t="s">
        <v>100</v>
      </c>
      <c r="B2" s="3"/>
      <c r="C2" s="3"/>
      <c r="D2" s="3"/>
      <c r="E2" s="3"/>
    </row>
    <row r="4" spans="1:5" ht="27.75" customHeight="1" x14ac:dyDescent="0.3">
      <c r="A4" s="11" t="s">
        <v>74</v>
      </c>
      <c r="B4" s="11" t="s">
        <v>75</v>
      </c>
      <c r="C4" s="11" t="s">
        <v>76</v>
      </c>
      <c r="D4" s="11" t="s">
        <v>77</v>
      </c>
      <c r="E4" s="11" t="s">
        <v>65</v>
      </c>
    </row>
    <row r="5" spans="1:5" ht="19.5" customHeight="1" x14ac:dyDescent="0.3">
      <c r="A5" s="2" t="s">
        <v>101</v>
      </c>
      <c r="B5" s="2"/>
      <c r="C5" s="2"/>
      <c r="D5" s="2"/>
      <c r="E5" s="2"/>
    </row>
    <row r="6" spans="1:5" ht="21.75" customHeight="1" x14ac:dyDescent="0.3">
      <c r="A6" s="20">
        <v>1</v>
      </c>
      <c r="B6" s="13" t="s">
        <v>102</v>
      </c>
      <c r="C6" s="28" t="s">
        <v>80</v>
      </c>
      <c r="D6" s="13"/>
      <c r="E6" s="13"/>
    </row>
    <row r="7" spans="1:5" ht="21.75" customHeight="1" x14ac:dyDescent="0.3">
      <c r="A7" s="20">
        <v>2</v>
      </c>
      <c r="B7" s="13" t="s">
        <v>103</v>
      </c>
      <c r="C7" s="28" t="s">
        <v>80</v>
      </c>
      <c r="D7" s="13"/>
      <c r="E7" s="13"/>
    </row>
    <row r="8" spans="1:5" ht="21.75" customHeight="1" x14ac:dyDescent="0.3">
      <c r="A8" s="20">
        <v>3</v>
      </c>
      <c r="B8" s="13" t="s">
        <v>104</v>
      </c>
      <c r="C8" s="28" t="s">
        <v>80</v>
      </c>
      <c r="D8" s="13"/>
      <c r="E8" s="13"/>
    </row>
    <row r="9" spans="1:5" ht="21.75" customHeight="1" x14ac:dyDescent="0.3">
      <c r="A9" s="20">
        <v>4</v>
      </c>
      <c r="B9" s="13" t="s">
        <v>105</v>
      </c>
      <c r="C9" s="28" t="s">
        <v>80</v>
      </c>
      <c r="D9" s="13"/>
      <c r="E9" s="13"/>
    </row>
    <row r="10" spans="1:5" ht="19.5" customHeight="1" x14ac:dyDescent="0.3">
      <c r="A10" s="2" t="s">
        <v>106</v>
      </c>
      <c r="B10" s="2"/>
      <c r="C10" s="2"/>
      <c r="D10" s="2"/>
      <c r="E10" s="2"/>
    </row>
    <row r="11" spans="1:5" ht="21.75" customHeight="1" x14ac:dyDescent="0.3">
      <c r="A11" s="20">
        <v>5</v>
      </c>
      <c r="B11" s="13" t="s">
        <v>107</v>
      </c>
      <c r="C11" s="28" t="s">
        <v>80</v>
      </c>
      <c r="D11" s="13"/>
      <c r="E11" s="13"/>
    </row>
    <row r="12" spans="1:5" ht="21.75" customHeight="1" x14ac:dyDescent="0.3">
      <c r="A12" s="20">
        <v>6</v>
      </c>
      <c r="B12" s="13" t="s">
        <v>108</v>
      </c>
      <c r="C12" s="28" t="s">
        <v>80</v>
      </c>
      <c r="D12" s="13"/>
      <c r="E12" s="13"/>
    </row>
    <row r="13" spans="1:5" ht="21.75" customHeight="1" x14ac:dyDescent="0.3">
      <c r="A13" s="20">
        <v>7</v>
      </c>
      <c r="B13" s="13" t="s">
        <v>109</v>
      </c>
      <c r="C13" s="28" t="s">
        <v>80</v>
      </c>
      <c r="D13" s="13"/>
      <c r="E13" s="13"/>
    </row>
    <row r="14" spans="1:5" ht="21.75" customHeight="1" x14ac:dyDescent="0.3">
      <c r="A14" s="20">
        <v>8</v>
      </c>
      <c r="B14" s="13" t="s">
        <v>110</v>
      </c>
      <c r="C14" s="28" t="s">
        <v>80</v>
      </c>
      <c r="D14" s="13"/>
      <c r="E14" s="13"/>
    </row>
    <row r="15" spans="1:5" ht="19.5" customHeight="1" x14ac:dyDescent="0.3">
      <c r="A15" s="2" t="s">
        <v>111</v>
      </c>
      <c r="B15" s="2"/>
      <c r="C15" s="2"/>
      <c r="D15" s="2"/>
      <c r="E15" s="2"/>
    </row>
    <row r="16" spans="1:5" ht="21.75" customHeight="1" x14ac:dyDescent="0.3">
      <c r="A16" s="20">
        <v>9</v>
      </c>
      <c r="B16" s="13" t="s">
        <v>112</v>
      </c>
      <c r="C16" s="28" t="s">
        <v>80</v>
      </c>
      <c r="D16" s="13"/>
      <c r="E16" s="13"/>
    </row>
    <row r="17" spans="1:5" ht="21.75" customHeight="1" x14ac:dyDescent="0.3">
      <c r="A17" s="20">
        <v>10</v>
      </c>
      <c r="B17" s="13" t="s">
        <v>113</v>
      </c>
      <c r="C17" s="28" t="s">
        <v>80</v>
      </c>
      <c r="D17" s="13"/>
      <c r="E17" s="13"/>
    </row>
    <row r="18" spans="1:5" ht="21.75" customHeight="1" x14ac:dyDescent="0.3">
      <c r="A18" s="20">
        <v>11</v>
      </c>
      <c r="B18" s="13" t="s">
        <v>114</v>
      </c>
      <c r="C18" s="28" t="s">
        <v>80</v>
      </c>
      <c r="D18" s="13"/>
      <c r="E18" s="13"/>
    </row>
    <row r="21" spans="1:5" x14ac:dyDescent="0.3">
      <c r="A21" s="5" t="s">
        <v>27</v>
      </c>
      <c r="B21" s="5"/>
      <c r="C21" s="5"/>
      <c r="D21" s="5"/>
      <c r="E21" s="5"/>
    </row>
  </sheetData>
  <mergeCells count="6">
    <mergeCell ref="A21:E21"/>
    <mergeCell ref="A1:E1"/>
    <mergeCell ref="A2:E2"/>
    <mergeCell ref="A5:E5"/>
    <mergeCell ref="A10:E10"/>
    <mergeCell ref="A15:E15"/>
  </mergeCells>
  <dataValidations count="1">
    <dataValidation type="list" allowBlank="1" sqref="C6:C9 C11:C14 C16:C18" xr:uid="{00000000-0002-0000-0400-000000000000}">
      <formula1>"Pendiente,OK,No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4.4" x14ac:dyDescent="0.3"/>
  <cols>
    <col min="1" max="1" width="6" customWidth="1"/>
    <col min="2" max="2" width="46" customWidth="1"/>
    <col min="3" max="3" width="14" customWidth="1"/>
    <col min="4" max="4" width="20" customWidth="1"/>
    <col min="5" max="5" width="30" customWidth="1"/>
  </cols>
  <sheetData>
    <row r="1" spans="1:5" ht="30" customHeight="1" x14ac:dyDescent="0.3">
      <c r="A1" s="4" t="s">
        <v>115</v>
      </c>
      <c r="B1" s="4"/>
      <c r="C1" s="4"/>
      <c r="D1" s="4"/>
      <c r="E1" s="4"/>
    </row>
    <row r="2" spans="1:5" ht="18" customHeight="1" x14ac:dyDescent="0.3">
      <c r="A2" s="3" t="s">
        <v>116</v>
      </c>
      <c r="B2" s="3"/>
      <c r="C2" s="3"/>
      <c r="D2" s="3"/>
      <c r="E2" s="3"/>
    </row>
    <row r="4" spans="1:5" ht="27.75" customHeight="1" x14ac:dyDescent="0.3">
      <c r="A4" s="11" t="s">
        <v>74</v>
      </c>
      <c r="B4" s="11" t="s">
        <v>75</v>
      </c>
      <c r="C4" s="11" t="s">
        <v>76</v>
      </c>
      <c r="D4" s="11" t="s">
        <v>77</v>
      </c>
      <c r="E4" s="11" t="s">
        <v>65</v>
      </c>
    </row>
    <row r="5" spans="1:5" ht="19.5" customHeight="1" x14ac:dyDescent="0.3">
      <c r="A5" s="2" t="s">
        <v>117</v>
      </c>
      <c r="B5" s="2"/>
      <c r="C5" s="2"/>
      <c r="D5" s="2"/>
      <c r="E5" s="2"/>
    </row>
    <row r="6" spans="1:5" ht="21.75" customHeight="1" x14ac:dyDescent="0.3">
      <c r="A6" s="20">
        <v>1</v>
      </c>
      <c r="B6" s="13" t="s">
        <v>118</v>
      </c>
      <c r="C6" s="28" t="s">
        <v>80</v>
      </c>
      <c r="D6" s="13"/>
      <c r="E6" s="13"/>
    </row>
    <row r="7" spans="1:5" ht="21.75" customHeight="1" x14ac:dyDescent="0.3">
      <c r="A7" s="20">
        <v>2</v>
      </c>
      <c r="B7" s="13" t="s">
        <v>119</v>
      </c>
      <c r="C7" s="28" t="s">
        <v>80</v>
      </c>
      <c r="D7" s="13"/>
      <c r="E7" s="13"/>
    </row>
    <row r="8" spans="1:5" ht="21.75" customHeight="1" x14ac:dyDescent="0.3">
      <c r="A8" s="20">
        <v>3</v>
      </c>
      <c r="B8" s="13" t="s">
        <v>120</v>
      </c>
      <c r="C8" s="28" t="s">
        <v>80</v>
      </c>
      <c r="D8" s="13"/>
      <c r="E8" s="13"/>
    </row>
    <row r="9" spans="1:5" ht="19.5" customHeight="1" x14ac:dyDescent="0.3">
      <c r="A9" s="2" t="s">
        <v>121</v>
      </c>
      <c r="B9" s="2"/>
      <c r="C9" s="2"/>
      <c r="D9" s="2"/>
      <c r="E9" s="2"/>
    </row>
    <row r="10" spans="1:5" ht="21.75" customHeight="1" x14ac:dyDescent="0.3">
      <c r="A10" s="20">
        <v>4</v>
      </c>
      <c r="B10" s="13" t="s">
        <v>122</v>
      </c>
      <c r="C10" s="28" t="s">
        <v>80</v>
      </c>
      <c r="D10" s="13"/>
      <c r="E10" s="13"/>
    </row>
    <row r="11" spans="1:5" ht="21.75" customHeight="1" x14ac:dyDescent="0.3">
      <c r="A11" s="20">
        <v>5</v>
      </c>
      <c r="B11" s="13" t="s">
        <v>123</v>
      </c>
      <c r="C11" s="28" t="s">
        <v>80</v>
      </c>
      <c r="D11" s="13"/>
      <c r="E11" s="13"/>
    </row>
    <row r="12" spans="1:5" ht="21.75" customHeight="1" x14ac:dyDescent="0.3">
      <c r="A12" s="20">
        <v>6</v>
      </c>
      <c r="B12" s="13" t="s">
        <v>124</v>
      </c>
      <c r="C12" s="28" t="s">
        <v>80</v>
      </c>
      <c r="D12" s="13"/>
      <c r="E12" s="13"/>
    </row>
    <row r="13" spans="1:5" ht="19.5" customHeight="1" x14ac:dyDescent="0.3">
      <c r="A13" s="2" t="s">
        <v>125</v>
      </c>
      <c r="B13" s="2"/>
      <c r="C13" s="2"/>
      <c r="D13" s="2"/>
      <c r="E13" s="2"/>
    </row>
    <row r="14" spans="1:5" ht="21.75" customHeight="1" x14ac:dyDescent="0.3">
      <c r="A14" s="20">
        <v>7</v>
      </c>
      <c r="B14" s="13" t="s">
        <v>126</v>
      </c>
      <c r="C14" s="28" t="s">
        <v>80</v>
      </c>
      <c r="D14" s="13"/>
      <c r="E14" s="13"/>
    </row>
    <row r="15" spans="1:5" ht="21.75" customHeight="1" x14ac:dyDescent="0.3">
      <c r="A15" s="20">
        <v>8</v>
      </c>
      <c r="B15" s="13" t="s">
        <v>127</v>
      </c>
      <c r="C15" s="28" t="s">
        <v>80</v>
      </c>
      <c r="D15" s="13"/>
      <c r="E15" s="13"/>
    </row>
    <row r="16" spans="1:5" ht="21.75" customHeight="1" x14ac:dyDescent="0.3">
      <c r="A16" s="20">
        <v>9</v>
      </c>
      <c r="B16" s="13" t="s">
        <v>128</v>
      </c>
      <c r="C16" s="28" t="s">
        <v>80</v>
      </c>
      <c r="D16" s="13"/>
      <c r="E16" s="13"/>
    </row>
    <row r="19" spans="1:5" x14ac:dyDescent="0.3">
      <c r="A19" s="5" t="s">
        <v>27</v>
      </c>
      <c r="B19" s="5"/>
      <c r="C19" s="5"/>
      <c r="D19" s="5"/>
      <c r="E19" s="5"/>
    </row>
  </sheetData>
  <mergeCells count="6">
    <mergeCell ref="A19:E19"/>
    <mergeCell ref="A1:E1"/>
    <mergeCell ref="A2:E2"/>
    <mergeCell ref="A5:E5"/>
    <mergeCell ref="A9:E9"/>
    <mergeCell ref="A13:E13"/>
  </mergeCells>
  <dataValidations count="1">
    <dataValidation type="list" allowBlank="1" sqref="C6:C8 C10:C12 C14:C16" xr:uid="{00000000-0002-0000-0500-000000000000}">
      <formula1>"Pendiente,OK,No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showGridLines="0"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4.4" x14ac:dyDescent="0.3"/>
  <cols>
    <col min="1" max="1" width="6" customWidth="1"/>
    <col min="2" max="2" width="46" customWidth="1"/>
    <col min="3" max="3" width="14" customWidth="1"/>
    <col min="4" max="4" width="20" customWidth="1"/>
    <col min="5" max="5" width="30" customWidth="1"/>
  </cols>
  <sheetData>
    <row r="1" spans="1:5" ht="30" customHeight="1" x14ac:dyDescent="0.3">
      <c r="A1" s="4" t="s">
        <v>129</v>
      </c>
      <c r="B1" s="4"/>
      <c r="C1" s="4"/>
      <c r="D1" s="4"/>
      <c r="E1" s="4"/>
    </row>
    <row r="2" spans="1:5" ht="18" customHeight="1" x14ac:dyDescent="0.3">
      <c r="A2" s="3" t="s">
        <v>130</v>
      </c>
      <c r="B2" s="3"/>
      <c r="C2" s="3"/>
      <c r="D2" s="3"/>
      <c r="E2" s="3"/>
    </row>
    <row r="4" spans="1:5" ht="27.75" customHeight="1" x14ac:dyDescent="0.3">
      <c r="A4" s="11" t="s">
        <v>74</v>
      </c>
      <c r="B4" s="11" t="s">
        <v>75</v>
      </c>
      <c r="C4" s="11" t="s">
        <v>76</v>
      </c>
      <c r="D4" s="11" t="s">
        <v>77</v>
      </c>
      <c r="E4" s="11" t="s">
        <v>65</v>
      </c>
    </row>
    <row r="5" spans="1:5" ht="19.5" customHeight="1" x14ac:dyDescent="0.3">
      <c r="A5" s="2" t="s">
        <v>131</v>
      </c>
      <c r="B5" s="2"/>
      <c r="C5" s="2"/>
      <c r="D5" s="2"/>
      <c r="E5" s="2"/>
    </row>
    <row r="6" spans="1:5" ht="21.75" customHeight="1" x14ac:dyDescent="0.3">
      <c r="A6" s="20">
        <v>1</v>
      </c>
      <c r="B6" s="13" t="s">
        <v>132</v>
      </c>
      <c r="C6" s="28" t="s">
        <v>80</v>
      </c>
      <c r="D6" s="13"/>
      <c r="E6" s="13"/>
    </row>
    <row r="7" spans="1:5" ht="21.75" customHeight="1" x14ac:dyDescent="0.3">
      <c r="A7" s="20">
        <v>2</v>
      </c>
      <c r="B7" s="13" t="s">
        <v>133</v>
      </c>
      <c r="C7" s="28" t="s">
        <v>80</v>
      </c>
      <c r="D7" s="13"/>
      <c r="E7" s="13"/>
    </row>
    <row r="8" spans="1:5" ht="21.75" customHeight="1" x14ac:dyDescent="0.3">
      <c r="A8" s="20">
        <v>3</v>
      </c>
      <c r="B8" s="13" t="s">
        <v>134</v>
      </c>
      <c r="C8" s="28" t="s">
        <v>80</v>
      </c>
      <c r="D8" s="13"/>
      <c r="E8" s="13"/>
    </row>
    <row r="9" spans="1:5" ht="19.5" customHeight="1" x14ac:dyDescent="0.3">
      <c r="A9" s="2" t="s">
        <v>135</v>
      </c>
      <c r="B9" s="2"/>
      <c r="C9" s="2"/>
      <c r="D9" s="2"/>
      <c r="E9" s="2"/>
    </row>
    <row r="10" spans="1:5" ht="21.75" customHeight="1" x14ac:dyDescent="0.3">
      <c r="A10" s="20">
        <v>4</v>
      </c>
      <c r="B10" s="13" t="s">
        <v>136</v>
      </c>
      <c r="C10" s="28" t="s">
        <v>80</v>
      </c>
      <c r="D10" s="13"/>
      <c r="E10" s="13"/>
    </row>
    <row r="11" spans="1:5" ht="21.75" customHeight="1" x14ac:dyDescent="0.3">
      <c r="A11" s="20">
        <v>5</v>
      </c>
      <c r="B11" s="13" t="s">
        <v>137</v>
      </c>
      <c r="C11" s="28" t="s">
        <v>80</v>
      </c>
      <c r="D11" s="13"/>
      <c r="E11" s="13"/>
    </row>
    <row r="12" spans="1:5" ht="21.75" customHeight="1" x14ac:dyDescent="0.3">
      <c r="A12" s="20">
        <v>6</v>
      </c>
      <c r="B12" s="13" t="s">
        <v>138</v>
      </c>
      <c r="C12" s="28" t="s">
        <v>80</v>
      </c>
      <c r="D12" s="13"/>
      <c r="E12" s="13"/>
    </row>
    <row r="13" spans="1:5" ht="19.5" customHeight="1" x14ac:dyDescent="0.3">
      <c r="A13" s="2" t="s">
        <v>139</v>
      </c>
      <c r="B13" s="2"/>
      <c r="C13" s="2"/>
      <c r="D13" s="2"/>
      <c r="E13" s="2"/>
    </row>
    <row r="14" spans="1:5" ht="21.75" customHeight="1" x14ac:dyDescent="0.3">
      <c r="A14" s="20">
        <v>7</v>
      </c>
      <c r="B14" s="13" t="s">
        <v>140</v>
      </c>
      <c r="C14" s="28" t="s">
        <v>80</v>
      </c>
      <c r="D14" s="13"/>
      <c r="E14" s="13"/>
    </row>
    <row r="15" spans="1:5" ht="21.75" customHeight="1" x14ac:dyDescent="0.3">
      <c r="A15" s="20">
        <v>8</v>
      </c>
      <c r="B15" s="13" t="s">
        <v>141</v>
      </c>
      <c r="C15" s="28" t="s">
        <v>80</v>
      </c>
      <c r="D15" s="13"/>
      <c r="E15" s="13"/>
    </row>
    <row r="16" spans="1:5" ht="21.75" customHeight="1" x14ac:dyDescent="0.3">
      <c r="A16" s="20">
        <v>9</v>
      </c>
      <c r="B16" s="13" t="s">
        <v>142</v>
      </c>
      <c r="C16" s="28" t="s">
        <v>80</v>
      </c>
      <c r="D16" s="13"/>
      <c r="E16" s="13"/>
    </row>
    <row r="19" spans="1:5" x14ac:dyDescent="0.3">
      <c r="A19" s="5" t="s">
        <v>27</v>
      </c>
      <c r="B19" s="5"/>
      <c r="C19" s="5"/>
      <c r="D19" s="5"/>
      <c r="E19" s="5"/>
    </row>
  </sheetData>
  <mergeCells count="6">
    <mergeCell ref="A19:E19"/>
    <mergeCell ref="A1:E1"/>
    <mergeCell ref="A2:E2"/>
    <mergeCell ref="A5:E5"/>
    <mergeCell ref="A9:E9"/>
    <mergeCell ref="A13:E13"/>
  </mergeCells>
  <dataValidations count="1">
    <dataValidation type="list" allowBlank="1" sqref="C6:C8 C10:C12 C14:C16" xr:uid="{00000000-0002-0000-0600-000000000000}">
      <formula1>"Pendiente,OK,No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showGridLines="0"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4.4" x14ac:dyDescent="0.3"/>
  <cols>
    <col min="1" max="1" width="6" customWidth="1"/>
    <col min="2" max="2" width="46" customWidth="1"/>
    <col min="3" max="3" width="14" customWidth="1"/>
    <col min="4" max="4" width="20" customWidth="1"/>
    <col min="5" max="5" width="30" customWidth="1"/>
  </cols>
  <sheetData>
    <row r="1" spans="1:5" ht="30" customHeight="1" x14ac:dyDescent="0.3">
      <c r="A1" s="4" t="s">
        <v>143</v>
      </c>
      <c r="B1" s="4"/>
      <c r="C1" s="4"/>
      <c r="D1" s="4"/>
      <c r="E1" s="4"/>
    </row>
    <row r="2" spans="1:5" ht="18" customHeight="1" x14ac:dyDescent="0.3">
      <c r="A2" s="3" t="s">
        <v>144</v>
      </c>
      <c r="B2" s="3"/>
      <c r="C2" s="3"/>
      <c r="D2" s="3"/>
      <c r="E2" s="3"/>
    </row>
    <row r="4" spans="1:5" ht="27.75" customHeight="1" x14ac:dyDescent="0.3">
      <c r="A4" s="11" t="s">
        <v>74</v>
      </c>
      <c r="B4" s="11" t="s">
        <v>75</v>
      </c>
      <c r="C4" s="11" t="s">
        <v>76</v>
      </c>
      <c r="D4" s="11" t="s">
        <v>77</v>
      </c>
      <c r="E4" s="11" t="s">
        <v>65</v>
      </c>
    </row>
    <row r="5" spans="1:5" ht="19.5" customHeight="1" x14ac:dyDescent="0.3">
      <c r="A5" s="2" t="s">
        <v>145</v>
      </c>
      <c r="B5" s="2"/>
      <c r="C5" s="2"/>
      <c r="D5" s="2"/>
      <c r="E5" s="2"/>
    </row>
    <row r="6" spans="1:5" ht="21.75" customHeight="1" x14ac:dyDescent="0.3">
      <c r="A6" s="20">
        <v>1</v>
      </c>
      <c r="B6" s="13" t="s">
        <v>146</v>
      </c>
      <c r="C6" s="28" t="s">
        <v>80</v>
      </c>
      <c r="D6" s="13"/>
      <c r="E6" s="13"/>
    </row>
    <row r="7" spans="1:5" ht="21.75" customHeight="1" x14ac:dyDescent="0.3">
      <c r="A7" s="20">
        <v>2</v>
      </c>
      <c r="B7" s="13" t="s">
        <v>147</v>
      </c>
      <c r="C7" s="28" t="s">
        <v>80</v>
      </c>
      <c r="D7" s="13"/>
      <c r="E7" s="13"/>
    </row>
    <row r="8" spans="1:5" ht="21.75" customHeight="1" x14ac:dyDescent="0.3">
      <c r="A8" s="20">
        <v>3</v>
      </c>
      <c r="B8" s="13" t="s">
        <v>148</v>
      </c>
      <c r="C8" s="28" t="s">
        <v>80</v>
      </c>
      <c r="D8" s="13"/>
      <c r="E8" s="13"/>
    </row>
    <row r="9" spans="1:5" ht="21.75" customHeight="1" x14ac:dyDescent="0.3">
      <c r="A9" s="20">
        <v>4</v>
      </c>
      <c r="B9" s="13" t="s">
        <v>149</v>
      </c>
      <c r="C9" s="28" t="s">
        <v>80</v>
      </c>
      <c r="D9" s="13"/>
      <c r="E9" s="13"/>
    </row>
    <row r="10" spans="1:5" ht="19.5" customHeight="1" x14ac:dyDescent="0.3">
      <c r="A10" s="2" t="s">
        <v>150</v>
      </c>
      <c r="B10" s="2"/>
      <c r="C10" s="2"/>
      <c r="D10" s="2"/>
      <c r="E10" s="2"/>
    </row>
    <row r="11" spans="1:5" ht="21.75" customHeight="1" x14ac:dyDescent="0.3">
      <c r="A11" s="20">
        <v>5</v>
      </c>
      <c r="B11" s="13" t="s">
        <v>151</v>
      </c>
      <c r="C11" s="28" t="s">
        <v>80</v>
      </c>
      <c r="D11" s="13"/>
      <c r="E11" s="13"/>
    </row>
    <row r="12" spans="1:5" ht="21.75" customHeight="1" x14ac:dyDescent="0.3">
      <c r="A12" s="20">
        <v>6</v>
      </c>
      <c r="B12" s="13" t="s">
        <v>152</v>
      </c>
      <c r="C12" s="28" t="s">
        <v>80</v>
      </c>
      <c r="D12" s="13"/>
      <c r="E12" s="13"/>
    </row>
    <row r="13" spans="1:5" ht="21.75" customHeight="1" x14ac:dyDescent="0.3">
      <c r="A13" s="20">
        <v>7</v>
      </c>
      <c r="B13" s="13" t="s">
        <v>153</v>
      </c>
      <c r="C13" s="28" t="s">
        <v>80</v>
      </c>
      <c r="D13" s="13"/>
      <c r="E13" s="13"/>
    </row>
    <row r="14" spans="1:5" ht="19.5" customHeight="1" x14ac:dyDescent="0.3">
      <c r="A14" s="2" t="s">
        <v>154</v>
      </c>
      <c r="B14" s="2"/>
      <c r="C14" s="2"/>
      <c r="D14" s="2"/>
      <c r="E14" s="2"/>
    </row>
    <row r="15" spans="1:5" ht="21.75" customHeight="1" x14ac:dyDescent="0.3">
      <c r="A15" s="20">
        <v>8</v>
      </c>
      <c r="B15" s="13" t="s">
        <v>155</v>
      </c>
      <c r="C15" s="28" t="s">
        <v>80</v>
      </c>
      <c r="D15" s="13"/>
      <c r="E15" s="13"/>
    </row>
    <row r="16" spans="1:5" ht="21.75" customHeight="1" x14ac:dyDescent="0.3">
      <c r="A16" s="20">
        <v>9</v>
      </c>
      <c r="B16" s="13" t="s">
        <v>156</v>
      </c>
      <c r="C16" s="28" t="s">
        <v>80</v>
      </c>
      <c r="D16" s="13"/>
      <c r="E16" s="13"/>
    </row>
    <row r="17" spans="1:5" ht="21.75" customHeight="1" x14ac:dyDescent="0.3">
      <c r="A17" s="20">
        <v>10</v>
      </c>
      <c r="B17" s="13" t="s">
        <v>157</v>
      </c>
      <c r="C17" s="28" t="s">
        <v>80</v>
      </c>
      <c r="D17" s="13"/>
      <c r="E17" s="13"/>
    </row>
    <row r="18" spans="1:5" ht="21.75" customHeight="1" x14ac:dyDescent="0.3">
      <c r="A18" s="20">
        <v>11</v>
      </c>
      <c r="B18" s="13" t="s">
        <v>158</v>
      </c>
      <c r="C18" s="28" t="s">
        <v>80</v>
      </c>
      <c r="D18" s="13"/>
      <c r="E18" s="13"/>
    </row>
    <row r="21" spans="1:5" x14ac:dyDescent="0.3">
      <c r="A21" s="5" t="s">
        <v>27</v>
      </c>
      <c r="B21" s="5"/>
      <c r="C21" s="5"/>
      <c r="D21" s="5"/>
      <c r="E21" s="5"/>
    </row>
  </sheetData>
  <mergeCells count="6">
    <mergeCell ref="A21:E21"/>
    <mergeCell ref="A1:E1"/>
    <mergeCell ref="A2:E2"/>
    <mergeCell ref="A5:E5"/>
    <mergeCell ref="A10:E10"/>
    <mergeCell ref="A14:E14"/>
  </mergeCells>
  <dataValidations count="1">
    <dataValidation type="list" allowBlank="1" sqref="C6:C9 C11:C13 C15:C18" xr:uid="{00000000-0002-0000-0700-000000000000}">
      <formula1>"Pendiente,OK,No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Inicio</vt:lpstr>
      <vt:lpstr>Flujo de Caja 4 Semanas</vt:lpstr>
      <vt:lpstr>Costos por Obra</vt:lpstr>
      <vt:lpstr>Checklist Inicio de Obra</vt:lpstr>
      <vt:lpstr>Checklist Compras y Recepción</vt:lpstr>
      <vt:lpstr>Checklist Registro de Avance</vt:lpstr>
      <vt:lpstr>Checklist Control de Calidad</vt:lpstr>
      <vt:lpstr>Checklist Cierre y 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BERNARDO ANDRES MANQUEZ RAMOS</cp:lastModifiedBy>
  <cp:revision>0</cp:revision>
  <dcterms:created xsi:type="dcterms:W3CDTF">2026-07-01T03:34:38Z</dcterms:created>
  <dcterms:modified xsi:type="dcterms:W3CDTF">2026-07-01T03:49:14Z</dcterms:modified>
  <dc:language>en-US</dc:language>
</cp:coreProperties>
</file>